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<sst xmlns="http://schemas.openxmlformats.org/spreadsheetml/2006/main" count="43" uniqueCount="42">
  <si>
    <t>Pais</t>
  </si>
  <si>
    <t>ClaveTerritorio</t>
  </si>
  <si>
    <t>ingresos</t>
  </si>
  <si>
    <t>costos</t>
  </si>
  <si>
    <t>CostoCampanas</t>
  </si>
  <si>
    <t>BeneficioBruto</t>
  </si>
  <si>
    <t>Margen_pct</t>
  </si>
  <si>
    <t>ROI_pct</t>
  </si>
  <si>
    <t>INSIGHT C F I</t>
  </si>
  <si>
    <t>United States</t>
  </si>
  <si>
    <t>Contexto:</t>
  </si>
  <si>
    <t>Australia</t>
  </si>
  <si>
    <t>Ventas realizadas en 2017 en los paises listados, se evaluó: costos de campaña, ingresos, costos generales sobre el total de ventas</t>
  </si>
  <si>
    <t>United Kingdom</t>
  </si>
  <si>
    <t>Germany</t>
  </si>
  <si>
    <t>Hallazgos</t>
  </si>
  <si>
    <t>France</t>
  </si>
  <si>
    <t>1) Estados unidos tiene mayor concentración sobre la rentabilidad y es significativamente más eficiente en retorno sobre la inversión</t>
  </si>
  <si>
    <t>Canada</t>
  </si>
  <si>
    <t>2) Los costos de campaña en Europa y Australia fueron mayores pero su rentabilidad fue media (Australia) y baja (Europa)</t>
  </si>
  <si>
    <t>¿Cuál es la diferencia entre Margen y ROI?</t>
  </si>
  <si>
    <t>1) El margen mide el rendimiento sobre los ingresos como ganancia neta y ROI mide rentabilidad sobre la inversión realizada.</t>
  </si>
  <si>
    <t>3) El margen global es consistente, lo que indica un patrón de operación estable y que su comportamiento es igual entre los países.</t>
  </si>
  <si>
    <t>¿Por qué el ROI en Estados Unidos es tan alto comparado con otros países?</t>
  </si>
  <si>
    <t>Dado que los costos de campaña son relativamente consistentes, podemos ver que la diferencia radica en el beneficio bruto, éste, supera por un poco más del doble al promedio, y por eso el ROI es superior en Estados Unidos.</t>
  </si>
  <si>
    <t>Implicación</t>
  </si>
  <si>
    <t>Si aumentáramos el gasto de campañas en un 50%, ¿qué pasaría con el ROI?</t>
  </si>
  <si>
    <t>1) La diferencia en el ROI entre Estados Unidos y los mercados de Europa y Canadá sugiere una posible ineficiencia en las estrategias de marketing. Esto representa una oportunidad para optimizar la asignación de inversión, priorizando los canales o regiones más eficientes y mejorando así el retorno global.</t>
  </si>
  <si>
    <t>1) Estableciendo que la relación entre gasto y ROI es inverso, y suponiendo que el beneficio bruto es el mismo, se espera que el ROI baje su rendimiento al aumentar el gasto. Pero haría falta más datos al sobre el beneficio bruto para dar una respuesta más coherente con el escenario.</t>
  </si>
  <si>
    <t>Costo campañas promedio</t>
  </si>
  <si>
    <t>Desviación pct</t>
  </si>
  <si>
    <t>Beneficio bruto promedio</t>
  </si>
  <si>
    <t>Costo campañas minimo</t>
  </si>
  <si>
    <t>Beneficio bruto mínimo</t>
  </si>
  <si>
    <t>Diferencia pct valor MIN</t>
  </si>
  <si>
    <t>2) La estabilidad en los margenes de operación sugiere la oportunidad de estandarizar de forma global las operaciones enfocando esfuerzos en la adquisión de nuevos clientes mientras se reduce la complejidad de operaciones.</t>
  </si>
  <si>
    <t xml:space="preserve">1) Me tomé la tarea de calcular </t>
  </si>
  <si>
    <t>Costo campañas máximo</t>
  </si>
  <si>
    <t xml:space="preserve">la desviación de los costos de campañas,  </t>
  </si>
  <si>
    <t>Beneficio bruto máximo</t>
  </si>
  <si>
    <t>Diferencia pct valor MAX</t>
  </si>
  <si>
    <t xml:space="preserve">de ese modo, poder tener la libertad de generalizar.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</si>
</sst>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left" readingOrder="0" shrinkToFit="0" vertical="top" wrapText="1"/>
    </xf>
    <xf borderId="5" fillId="0" fontId="4" numFmtId="0" xfId="0" applyBorder="1" applyFont="1"/>
    <xf borderId="4" fillId="0" fontId="4" numFmtId="0" xfId="0" applyBorder="1" applyFont="1"/>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0" fillId="2" fontId="2" numFmtId="0" xfId="0" applyAlignment="1" applyFont="1">
      <alignment readingOrder="0"/>
    </xf>
    <xf borderId="0" fillId="2" fontId="2" numFmtId="164" xfId="0" applyFont="1" applyNumberFormat="1"/>
    <xf borderId="0" fillId="2" fontId="2" numFmtId="10" xfId="0" applyFont="1" applyNumberFormat="1"/>
    <xf borderId="0" fillId="2" fontId="2" numFmtId="164" xfId="0" applyAlignment="1" applyFont="1" applyNumberFormat="1">
      <alignment readingOrder="0"/>
    </xf>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5"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5" t="s">
        <v>19</v>
      </c>
      <c r="M9" s="16"/>
      <c r="N9" s="2"/>
    </row>
    <row r="10" ht="19.5" customHeight="1">
      <c r="A10" s="2"/>
      <c r="B10" s="18" t="s">
        <v>20</v>
      </c>
      <c r="C10" s="5"/>
      <c r="D10" s="5"/>
      <c r="E10" s="5"/>
      <c r="F10" s="5"/>
      <c r="G10" s="5"/>
      <c r="H10" s="5"/>
      <c r="I10" s="6"/>
      <c r="J10" s="2"/>
      <c r="K10" s="17"/>
      <c r="M10" s="16"/>
      <c r="N10" s="2"/>
    </row>
    <row r="11" ht="19.5" customHeight="1">
      <c r="A11" s="2"/>
      <c r="B11" s="15" t="s">
        <v>21</v>
      </c>
      <c r="I11" s="16"/>
      <c r="J11" s="2"/>
      <c r="K11" s="15" t="s">
        <v>22</v>
      </c>
      <c r="M11" s="16"/>
      <c r="N11" s="2"/>
    </row>
    <row r="12" ht="19.5" customHeight="1">
      <c r="A12" s="2"/>
      <c r="B12" s="19" t="s">
        <v>23</v>
      </c>
      <c r="I12" s="16"/>
      <c r="J12" s="2"/>
      <c r="K12" s="17"/>
      <c r="M12" s="16"/>
      <c r="N12" s="2"/>
    </row>
    <row r="13" ht="29.25" customHeight="1">
      <c r="A13" s="2"/>
      <c r="B13" s="15" t="s">
        <v>24</v>
      </c>
      <c r="I13" s="16"/>
      <c r="J13" s="2"/>
      <c r="K13" s="11" t="s">
        <v>25</v>
      </c>
      <c r="L13" s="12"/>
      <c r="M13" s="13"/>
      <c r="N13" s="2"/>
    </row>
    <row r="14" ht="19.5" customHeight="1">
      <c r="A14" s="14"/>
      <c r="B14" s="19" t="s">
        <v>26</v>
      </c>
      <c r="I14" s="16"/>
      <c r="J14" s="14"/>
      <c r="K14" s="15" t="s">
        <v>27</v>
      </c>
      <c r="M14" s="16"/>
      <c r="N14" s="14"/>
    </row>
    <row r="15" ht="28.5" customHeight="1">
      <c r="A15" s="14"/>
      <c r="B15" s="20" t="s">
        <v>28</v>
      </c>
      <c r="C15" s="21"/>
      <c r="D15" s="21"/>
      <c r="E15" s="21"/>
      <c r="F15" s="21"/>
      <c r="G15" s="21"/>
      <c r="H15" s="21"/>
      <c r="I15" s="22"/>
      <c r="J15" s="14"/>
      <c r="K15" s="17"/>
      <c r="M15" s="16"/>
      <c r="N15" s="14"/>
    </row>
    <row r="16" ht="19.5" customHeight="1">
      <c r="A16" s="2"/>
      <c r="B16" s="2"/>
      <c r="C16" s="2"/>
      <c r="D16" s="2"/>
      <c r="E16" s="2"/>
      <c r="F16" s="2"/>
      <c r="G16" s="2"/>
      <c r="H16" s="2"/>
      <c r="I16" s="2"/>
      <c r="J16" s="2"/>
      <c r="K16" s="17"/>
      <c r="M16" s="16"/>
      <c r="N16" s="2"/>
    </row>
    <row r="17" ht="19.5" customHeight="1">
      <c r="A17" s="2"/>
      <c r="B17" s="23" t="s">
        <v>29</v>
      </c>
      <c r="C17" s="2"/>
      <c r="D17" s="23" t="s">
        <v>30</v>
      </c>
      <c r="E17" s="2"/>
      <c r="F17" s="2"/>
      <c r="G17" s="23" t="s">
        <v>31</v>
      </c>
      <c r="H17" s="23" t="s">
        <v>30</v>
      </c>
      <c r="I17" s="2"/>
      <c r="J17" s="2"/>
      <c r="K17" s="17"/>
      <c r="M17" s="16"/>
      <c r="N17" s="2"/>
    </row>
    <row r="18">
      <c r="A18" s="2"/>
      <c r="B18" s="24">
        <f>AVERAGE(Table1[CostoCampanas])</f>
        <v>2112000</v>
      </c>
      <c r="C18" s="2"/>
      <c r="D18" s="25">
        <f>_xlfn.STDEV.S(Table1[CostoCampanas])/B18</f>
        <v>0.09253098655</v>
      </c>
      <c r="E18" s="2"/>
      <c r="F18" s="2"/>
      <c r="G18" s="24">
        <f>AVERAGE(Table1[BeneficioBruto])</f>
        <v>699034.3783</v>
      </c>
      <c r="H18" s="25">
        <f>_xlfn.STDEV.S(Table1[BeneficioBruto])/G18</f>
        <v>0.6490168129</v>
      </c>
      <c r="I18" s="2"/>
      <c r="J18" s="2"/>
      <c r="K18" s="17"/>
      <c r="M18" s="16"/>
      <c r="N18" s="2"/>
    </row>
    <row r="19">
      <c r="A19" s="2"/>
      <c r="B19" s="23" t="s">
        <v>32</v>
      </c>
      <c r="C19" s="2"/>
      <c r="D19" s="2"/>
      <c r="E19" s="2"/>
      <c r="F19" s="2"/>
      <c r="G19" s="23" t="s">
        <v>33</v>
      </c>
      <c r="H19" s="23" t="s">
        <v>34</v>
      </c>
      <c r="I19" s="2"/>
      <c r="J19" s="2"/>
      <c r="K19" s="15" t="s">
        <v>35</v>
      </c>
      <c r="M19" s="16"/>
      <c r="N19" s="2"/>
    </row>
    <row r="20">
      <c r="A20" s="2"/>
      <c r="B20" s="26">
        <f>MIN(Table1[CostoCampanas])</f>
        <v>1824000</v>
      </c>
      <c r="C20" s="2"/>
      <c r="D20" s="23" t="s">
        <v>36</v>
      </c>
      <c r="E20" s="2"/>
      <c r="F20" s="2"/>
      <c r="G20" s="24">
        <f>MIN(Table1[BeneficioBruto])</f>
        <v>317879.27</v>
      </c>
      <c r="H20" s="25">
        <f>(G20-$G$18)/$G$18</f>
        <v>-0.545259461</v>
      </c>
      <c r="I20" s="2"/>
      <c r="J20" s="2"/>
      <c r="K20" s="17"/>
      <c r="M20" s="16"/>
      <c r="N20" s="2"/>
    </row>
    <row r="21">
      <c r="A21" s="2"/>
      <c r="B21" s="23" t="s">
        <v>37</v>
      </c>
      <c r="C21" s="2"/>
      <c r="D21" s="23" t="s">
        <v>38</v>
      </c>
      <c r="E21" s="2"/>
      <c r="F21" s="2"/>
      <c r="G21" s="23" t="s">
        <v>39</v>
      </c>
      <c r="H21" s="23" t="s">
        <v>40</v>
      </c>
      <c r="I21" s="2"/>
      <c r="J21" s="2"/>
      <c r="K21" s="17"/>
      <c r="M21" s="16"/>
      <c r="N21" s="2"/>
    </row>
    <row r="22">
      <c r="A22" s="2"/>
      <c r="B22" s="24">
        <f>MAX(Table1[CostoCampanas])</f>
        <v>2304000</v>
      </c>
      <c r="C22" s="2"/>
      <c r="D22" s="23" t="s">
        <v>41</v>
      </c>
      <c r="E22" s="2"/>
      <c r="F22" s="2"/>
      <c r="G22" s="24">
        <f>MAX(Table1[BeneficioBruto])</f>
        <v>1454468.6</v>
      </c>
      <c r="H22" s="25">
        <f>(G22-$G$18)/$G$18</f>
        <v>1.080682503</v>
      </c>
      <c r="I22" s="2"/>
      <c r="J22" s="2"/>
      <c r="K22" s="17"/>
      <c r="M22" s="16"/>
      <c r="N22" s="2"/>
    </row>
    <row r="23">
      <c r="A23" s="2"/>
      <c r="B23" s="2"/>
      <c r="C23" s="2"/>
      <c r="D23" s="2"/>
      <c r="E23" s="2"/>
      <c r="F23" s="2"/>
      <c r="G23" s="2"/>
      <c r="H23" s="2"/>
      <c r="I23" s="2"/>
      <c r="J23" s="2"/>
      <c r="K23" s="27"/>
      <c r="L23" s="21"/>
      <c r="M23" s="22"/>
      <c r="N23" s="2"/>
    </row>
  </sheetData>
  <mergeCells count="13">
    <mergeCell ref="B12:I12"/>
    <mergeCell ref="B13:I13"/>
    <mergeCell ref="B14:I14"/>
    <mergeCell ref="K14:M18"/>
    <mergeCell ref="B15:I15"/>
    <mergeCell ref="K19:M23"/>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